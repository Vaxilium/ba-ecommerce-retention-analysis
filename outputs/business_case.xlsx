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cenarios" sheetId="2" state="visible" r:id="rId2"/>
    <sheet name="Sensitivity" sheetId="3" state="visible" r:id="rId3"/>
    <sheet name="Cash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3" fontId="0" fillId="2" borderId="0" pivotButton="0" quotePrefix="0" xfId="0"/>
    <xf numFmtId="0" fontId="2" fillId="0" borderId="0" pivotButton="0" quotePrefix="0" xfId="0"/>
    <xf numFmtId="164" fontId="0" fillId="2" borderId="0" pivotButton="0" quotePrefix="0" xfId="0"/>
    <xf numFmtId="2" fontId="0" fillId="2" borderId="0" pivotButton="0" quotePrefix="0" xfId="0"/>
    <xf numFmtId="0" fontId="3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4" fontId="3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58" customWidth="1" min="4" max="4"/>
  </cols>
  <sheetData>
    <row r="1">
      <c r="A1" s="1" t="inlineStr">
        <is>
          <t>Win-back program — assumptions (edit the yellow cells; everything else recalculates)</t>
        </is>
      </c>
    </row>
    <row r="3">
      <c r="A3" t="inlineStr">
        <is>
          <t>Eligible pool (lapsed, opted-in)</t>
        </is>
      </c>
      <c r="B3" s="2" t="n">
        <v>5057</v>
      </c>
      <c r="C3" t="inlineStr">
        <is>
          <t>customers</t>
        </is>
      </c>
      <c r="D3" s="3" t="inlineStr">
        <is>
          <t>A/B design: last order 120-540 days ago, marketing opted-in</t>
        </is>
      </c>
    </row>
    <row r="4">
      <c r="A4" t="inlineStr">
        <is>
          <t>Baseline (control) 60-day reactivation rate</t>
        </is>
      </c>
      <c r="B4" s="4" t="n">
        <v>0.0506</v>
      </c>
      <c r="C4" t="inlineStr">
        <is>
          <t>share</t>
        </is>
      </c>
      <c r="D4" s="3" t="inlineStr">
        <is>
          <t>A/B control arm; history-measured natural rate is 5.8%</t>
        </is>
      </c>
    </row>
    <row r="5">
      <c r="A5" t="inlineStr">
        <is>
          <t>Email cost per send</t>
        </is>
      </c>
      <c r="B5" s="5" t="n">
        <v>0.05</v>
      </c>
      <c r="C5" t="inlineStr">
        <is>
          <t>USD</t>
        </is>
      </c>
      <c r="D5" s="3" t="inlineStr">
        <is>
          <t>Platform + ops</t>
        </is>
      </c>
    </row>
    <row r="6">
      <c r="A6" t="inlineStr">
        <is>
          <t>Average margin per order (win-back customers)</t>
        </is>
      </c>
      <c r="B6" s="5" t="n">
        <v>40.34</v>
      </c>
      <c r="C6" t="inlineStr">
        <is>
          <t>USD</t>
        </is>
      </c>
      <c r="D6" s="3" t="inlineStr">
        <is>
          <t>Source: A/B economics output</t>
        </is>
      </c>
    </row>
    <row r="7">
      <c r="A7" t="inlineStr">
        <is>
          <t>Campaign waves per year</t>
        </is>
      </c>
      <c r="B7" s="2" t="n">
        <v>4</v>
      </c>
      <c r="C7" t="inlineStr">
        <is>
          <t>waves</t>
        </is>
      </c>
      <c r="D7" s="3" t="inlineStr">
        <is>
          <t>Assumption: quarterly refreshes of the lapsed pool</t>
        </is>
      </c>
    </row>
    <row r="8">
      <c r="A8" t="inlineStr">
        <is>
          <t>Scenario lift - conservative</t>
        </is>
      </c>
      <c r="B8" s="4" t="n">
        <v>0.2273</v>
      </c>
      <c r="C8" t="inlineStr">
        <is>
          <t>relative</t>
        </is>
      </c>
      <c r="D8" s="3" t="inlineStr">
        <is>
          <t>Lower bound of the 95% CI of the A/B relative lift</t>
        </is>
      </c>
    </row>
    <row r="9">
      <c r="A9" t="inlineStr">
        <is>
          <t>Scenario lift - base</t>
        </is>
      </c>
      <c r="B9" s="4" t="n">
        <v>0.4916</v>
      </c>
      <c r="C9" t="inlineStr">
        <is>
          <t>relative</t>
        </is>
      </c>
      <c r="D9" s="3" t="inlineStr">
        <is>
          <t>Observed relative lift in the A/B test</t>
        </is>
      </c>
    </row>
    <row r="10">
      <c r="A10" t="inlineStr">
        <is>
          <t>Scenario lift - optimistic</t>
        </is>
      </c>
      <c r="B10" s="4" t="n">
        <v>0.7559</v>
      </c>
      <c r="C10" t="inlineStr">
        <is>
          <t>relative</t>
        </is>
      </c>
      <c r="D10" s="3" t="inlineStr">
        <is>
          <t>Upper bound of the 95% CI of the A/B relative lift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Scenarios (annual) — all cells are live formulas off Assumptions</t>
        </is>
      </c>
    </row>
    <row r="3">
      <c r="A3" s="6" t="inlineStr">
        <is>
          <t>Metric</t>
        </is>
      </c>
      <c r="B3" s="6" t="inlineStr">
        <is>
          <t>Conservative</t>
        </is>
      </c>
      <c r="C3" s="6" t="inlineStr">
        <is>
          <t>Base</t>
        </is>
      </c>
      <c r="D3" s="6" t="inlineStr">
        <is>
          <t>Optimistic</t>
        </is>
      </c>
    </row>
    <row r="4">
      <c r="A4" t="inlineStr">
        <is>
          <t>Relative lift (assumption)</t>
        </is>
      </c>
      <c r="B4" s="7">
        <f>Assumptions!$B$8</f>
        <v/>
      </c>
      <c r="C4" s="7">
        <f>Assumptions!$B$9</f>
        <v/>
      </c>
      <c r="D4" s="7">
        <f>Assumptions!$B$10</f>
        <v/>
      </c>
    </row>
    <row r="5">
      <c r="A5" t="inlineStr">
        <is>
          <t>Baseline (control) 60-day reactivation rate</t>
        </is>
      </c>
      <c r="B5" s="7">
        <f>Assumptions!$B$4</f>
        <v/>
      </c>
      <c r="C5" s="7">
        <f>Assumptions!$B$4</f>
        <v/>
      </c>
      <c r="D5" s="7">
        <f>Assumptions!$B$4</f>
        <v/>
      </c>
    </row>
    <row r="6">
      <c r="A6" t="inlineStr">
        <is>
          <t>Treatment 60-day reactivation rate</t>
        </is>
      </c>
      <c r="B6" s="7">
        <f>B5*(1+B4)</f>
        <v/>
      </c>
      <c r="C6" s="7">
        <f>C5*(1+C4)</f>
        <v/>
      </c>
      <c r="D6" s="7">
        <f>D5*(1+D4)</f>
        <v/>
      </c>
    </row>
    <row r="7">
      <c r="A7" t="inlineStr">
        <is>
          <t>Incremental reactivations per wave</t>
        </is>
      </c>
      <c r="B7" s="8">
        <f>Assumptions!$B$3*(B6-B5)</f>
        <v/>
      </c>
      <c r="C7" s="8">
        <f>Assumptions!$B$3*(C6-C5)</f>
        <v/>
      </c>
      <c r="D7" s="8">
        <f>Assumptions!$B$3*(D6-D5)</f>
        <v/>
      </c>
    </row>
    <row r="8">
      <c r="A8" t="inlineStr">
        <is>
          <t>Incremental gross margin per wave</t>
        </is>
      </c>
      <c r="B8" s="9">
        <f>B7*Assumptions!$B$6</f>
        <v/>
      </c>
      <c r="C8" s="9">
        <f>C7*Assumptions!$B$6</f>
        <v/>
      </c>
      <c r="D8" s="9">
        <f>D7*Assumptions!$B$6</f>
        <v/>
      </c>
    </row>
    <row r="9">
      <c r="A9" t="inlineStr">
        <is>
          <t>Program cost per wave (sends x cost)</t>
        </is>
      </c>
      <c r="B9" s="9">
        <f>Assumptions!$B$3*Assumptions!$B$5</f>
        <v/>
      </c>
      <c r="C9" s="9">
        <f>Assumptions!$B$3*Assumptions!$B$5</f>
        <v/>
      </c>
      <c r="D9" s="9">
        <f>Assumptions!$B$3*Assumptions!$B$5</f>
        <v/>
      </c>
    </row>
    <row r="10">
      <c r="A10" t="inlineStr">
        <is>
          <t>Net benefit per wave</t>
        </is>
      </c>
      <c r="B10" s="9">
        <f>B8-B9</f>
        <v/>
      </c>
      <c r="C10" s="9">
        <f>C8-C9</f>
        <v/>
      </c>
      <c r="D10" s="9">
        <f>D8-D9</f>
        <v/>
      </c>
    </row>
    <row r="11">
      <c r="A11" t="inlineStr">
        <is>
          <t>Annual gross margin</t>
        </is>
      </c>
      <c r="B11" s="9">
        <f>B8*Assumptions!$B$7</f>
        <v/>
      </c>
      <c r="C11" s="9">
        <f>C8*Assumptions!$B$7</f>
        <v/>
      </c>
      <c r="D11" s="9">
        <f>D8*Assumptions!$B$7</f>
        <v/>
      </c>
    </row>
    <row r="12">
      <c r="A12" t="inlineStr">
        <is>
          <t>Annual program cost</t>
        </is>
      </c>
      <c r="B12" s="9">
        <f>B9*Assumptions!$B$7</f>
        <v/>
      </c>
      <c r="C12" s="9">
        <f>C9*Assumptions!$B$7</f>
        <v/>
      </c>
      <c r="D12" s="9">
        <f>D9*Assumptions!$B$7</f>
        <v/>
      </c>
    </row>
    <row r="13">
      <c r="A13" t="inlineStr">
        <is>
          <t>Annual net benefit</t>
        </is>
      </c>
      <c r="B13" s="9">
        <f>B10*Assumptions!$B$7</f>
        <v/>
      </c>
      <c r="C13" s="9">
        <f>C10*Assumptions!$B$7</f>
        <v/>
      </c>
      <c r="D13" s="9">
        <f>D10*Assumptions!$B$7</f>
        <v/>
      </c>
    </row>
    <row r="14">
      <c r="A14" t="inlineStr">
        <is>
          <t>Annual ROI on program cost</t>
        </is>
      </c>
      <c r="B14" s="10">
        <f>B13/B12</f>
        <v/>
      </c>
      <c r="C14" s="10">
        <f>C13/C12</f>
        <v/>
      </c>
      <c r="D14" s="10">
        <f>D13/D12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Annual net benefit = Assumptions!$B$3 x natural x lift x margin x Assumptions!$B$7 - Assumptions!$B$3 x cost x Assumptions!$B$7</t>
        </is>
      </c>
    </row>
    <row r="3">
      <c r="A3" s="6" t="inlineStr">
        <is>
          <t>Lift \ Margin per order</t>
        </is>
      </c>
      <c r="B3" s="12" t="n">
        <v>30</v>
      </c>
      <c r="C3" s="12" t="n">
        <v>35</v>
      </c>
      <c r="D3" s="12" t="n">
        <v>40</v>
      </c>
      <c r="E3" s="12" t="n">
        <v>45</v>
      </c>
      <c r="F3" s="12" t="n">
        <v>50</v>
      </c>
    </row>
    <row r="4">
      <c r="A4" s="7" t="n">
        <v>0.1</v>
      </c>
      <c r="B4" s="9">
        <f>Assumptions!$B$3*Assumptions!$B$4*$A4*B$3*Assumptions!$B$7-Assumptions!$B$3*Assumptions!$B$5*Assumptions!$B$7</f>
        <v/>
      </c>
      <c r="C4" s="9">
        <f>Assumptions!$B$3*Assumptions!$B$4*$A4*C$3*Assumptions!$B$7-Assumptions!$B$3*Assumptions!$B$5*Assumptions!$B$7</f>
        <v/>
      </c>
      <c r="D4" s="9">
        <f>Assumptions!$B$3*Assumptions!$B$4*$A4*D$3*Assumptions!$B$7-Assumptions!$B$3*Assumptions!$B$5*Assumptions!$B$7</f>
        <v/>
      </c>
      <c r="E4" s="9">
        <f>Assumptions!$B$3*Assumptions!$B$4*$A4*E$3*Assumptions!$B$7-Assumptions!$B$3*Assumptions!$B$5*Assumptions!$B$7</f>
        <v/>
      </c>
      <c r="F4" s="9">
        <f>Assumptions!$B$3*Assumptions!$B$4*$A4*F$3*Assumptions!$B$7-Assumptions!$B$3*Assumptions!$B$5*Assumptions!$B$7</f>
        <v/>
      </c>
    </row>
    <row r="5">
      <c r="A5" s="7" t="n">
        <v>0.2</v>
      </c>
      <c r="B5" s="9">
        <f>Assumptions!$B$3*Assumptions!$B$4*$A5*B$3*Assumptions!$B$7-Assumptions!$B$3*Assumptions!$B$5*Assumptions!$B$7</f>
        <v/>
      </c>
      <c r="C5" s="9">
        <f>Assumptions!$B$3*Assumptions!$B$4*$A5*C$3*Assumptions!$B$7-Assumptions!$B$3*Assumptions!$B$5*Assumptions!$B$7</f>
        <v/>
      </c>
      <c r="D5" s="9">
        <f>Assumptions!$B$3*Assumptions!$B$4*$A5*D$3*Assumptions!$B$7-Assumptions!$B$3*Assumptions!$B$5*Assumptions!$B$7</f>
        <v/>
      </c>
      <c r="E5" s="9">
        <f>Assumptions!$B$3*Assumptions!$B$4*$A5*E$3*Assumptions!$B$7-Assumptions!$B$3*Assumptions!$B$5*Assumptions!$B$7</f>
        <v/>
      </c>
      <c r="F5" s="9">
        <f>Assumptions!$B$3*Assumptions!$B$4*$A5*F$3*Assumptions!$B$7-Assumptions!$B$3*Assumptions!$B$5*Assumptions!$B$7</f>
        <v/>
      </c>
    </row>
    <row r="6">
      <c r="A6" s="7" t="n">
        <v>0.3</v>
      </c>
      <c r="B6" s="9">
        <f>Assumptions!$B$3*Assumptions!$B$4*$A6*B$3*Assumptions!$B$7-Assumptions!$B$3*Assumptions!$B$5*Assumptions!$B$7</f>
        <v/>
      </c>
      <c r="C6" s="9">
        <f>Assumptions!$B$3*Assumptions!$B$4*$A6*C$3*Assumptions!$B$7-Assumptions!$B$3*Assumptions!$B$5*Assumptions!$B$7</f>
        <v/>
      </c>
      <c r="D6" s="9">
        <f>Assumptions!$B$3*Assumptions!$B$4*$A6*D$3*Assumptions!$B$7-Assumptions!$B$3*Assumptions!$B$5*Assumptions!$B$7</f>
        <v/>
      </c>
      <c r="E6" s="9">
        <f>Assumptions!$B$3*Assumptions!$B$4*$A6*E$3*Assumptions!$B$7-Assumptions!$B$3*Assumptions!$B$5*Assumptions!$B$7</f>
        <v/>
      </c>
      <c r="F6" s="9">
        <f>Assumptions!$B$3*Assumptions!$B$4*$A6*F$3*Assumptions!$B$7-Assumptions!$B$3*Assumptions!$B$5*Assumptions!$B$7</f>
        <v/>
      </c>
    </row>
    <row r="7">
      <c r="A7" s="7" t="n">
        <v>0.4</v>
      </c>
      <c r="B7" s="9">
        <f>Assumptions!$B$3*Assumptions!$B$4*$A7*B$3*Assumptions!$B$7-Assumptions!$B$3*Assumptions!$B$5*Assumptions!$B$7</f>
        <v/>
      </c>
      <c r="C7" s="9">
        <f>Assumptions!$B$3*Assumptions!$B$4*$A7*C$3*Assumptions!$B$7-Assumptions!$B$3*Assumptions!$B$5*Assumptions!$B$7</f>
        <v/>
      </c>
      <c r="D7" s="9">
        <f>Assumptions!$B$3*Assumptions!$B$4*$A7*D$3*Assumptions!$B$7-Assumptions!$B$3*Assumptions!$B$5*Assumptions!$B$7</f>
        <v/>
      </c>
      <c r="E7" s="9">
        <f>Assumptions!$B$3*Assumptions!$B$4*$A7*E$3*Assumptions!$B$7-Assumptions!$B$3*Assumptions!$B$5*Assumptions!$B$7</f>
        <v/>
      </c>
      <c r="F7" s="9">
        <f>Assumptions!$B$3*Assumptions!$B$4*$A7*F$3*Assumptions!$B$7-Assumptions!$B$3*Assumptions!$B$5*Assumptions!$B$7</f>
        <v/>
      </c>
    </row>
    <row r="8">
      <c r="A8" s="7" t="n">
        <v>0.5</v>
      </c>
      <c r="B8" s="9">
        <f>Assumptions!$B$3*Assumptions!$B$4*$A8*B$3*Assumptions!$B$7-Assumptions!$B$3*Assumptions!$B$5*Assumptions!$B$7</f>
        <v/>
      </c>
      <c r="C8" s="9">
        <f>Assumptions!$B$3*Assumptions!$B$4*$A8*C$3*Assumptions!$B$7-Assumptions!$B$3*Assumptions!$B$5*Assumptions!$B$7</f>
        <v/>
      </c>
      <c r="D8" s="9">
        <f>Assumptions!$B$3*Assumptions!$B$4*$A8*D$3*Assumptions!$B$7-Assumptions!$B$3*Assumptions!$B$5*Assumptions!$B$7</f>
        <v/>
      </c>
      <c r="E8" s="9">
        <f>Assumptions!$B$3*Assumptions!$B$4*$A8*E$3*Assumptions!$B$7-Assumptions!$B$3*Assumptions!$B$5*Assumptions!$B$7</f>
        <v/>
      </c>
      <c r="F8" s="9">
        <f>Assumptions!$B$3*Assumptions!$B$4*$A8*F$3*Assumptions!$B$7-Assumptions!$B$3*Assumptions!$B$5*Assumptions!$B$7</f>
        <v/>
      </c>
    </row>
    <row r="9">
      <c r="A9" s="7" t="n">
        <v>0.6</v>
      </c>
      <c r="B9" s="9">
        <f>Assumptions!$B$3*Assumptions!$B$4*$A9*B$3*Assumptions!$B$7-Assumptions!$B$3*Assumptions!$B$5*Assumptions!$B$7</f>
        <v/>
      </c>
      <c r="C9" s="9">
        <f>Assumptions!$B$3*Assumptions!$B$4*$A9*C$3*Assumptions!$B$7-Assumptions!$B$3*Assumptions!$B$5*Assumptions!$B$7</f>
        <v/>
      </c>
      <c r="D9" s="9">
        <f>Assumptions!$B$3*Assumptions!$B$4*$A9*D$3*Assumptions!$B$7-Assumptions!$B$3*Assumptions!$B$5*Assumptions!$B$7</f>
        <v/>
      </c>
      <c r="E9" s="9">
        <f>Assumptions!$B$3*Assumptions!$B$4*$A9*E$3*Assumptions!$B$7-Assumptions!$B$3*Assumptions!$B$5*Assumptions!$B$7</f>
        <v/>
      </c>
      <c r="F9" s="9">
        <f>Assumptions!$B$3*Assumptions!$B$4*$A9*F$3*Assumptions!$B$7-Assumptions!$B$3*Assumptions!$B$5*Assumptions!$B$7</f>
        <v/>
      </c>
    </row>
    <row r="10">
      <c r="A10" s="7" t="n">
        <v>0.7</v>
      </c>
      <c r="B10" s="9">
        <f>Assumptions!$B$3*Assumptions!$B$4*$A10*B$3*Assumptions!$B$7-Assumptions!$B$3*Assumptions!$B$5*Assumptions!$B$7</f>
        <v/>
      </c>
      <c r="C10" s="9">
        <f>Assumptions!$B$3*Assumptions!$B$4*$A10*C$3*Assumptions!$B$7-Assumptions!$B$3*Assumptions!$B$5*Assumptions!$B$7</f>
        <v/>
      </c>
      <c r="D10" s="9">
        <f>Assumptions!$B$3*Assumptions!$B$4*$A10*D$3*Assumptions!$B$7-Assumptions!$B$3*Assumptions!$B$5*Assumptions!$B$7</f>
        <v/>
      </c>
      <c r="E10" s="9">
        <f>Assumptions!$B$3*Assumptions!$B$4*$A10*E$3*Assumptions!$B$7-Assumptions!$B$3*Assumptions!$B$5*Assumptions!$B$7</f>
        <v/>
      </c>
      <c r="F10" s="9">
        <f>Assumptions!$B$3*Assumptions!$B$4*$A10*F$3*Assumptions!$B$7-Assumptions!$B$3*Assumptions!$B$5*Assumptions!$B$7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1" t="inlineStr">
        <is>
          <t>Base-case cash flow by month (waves start months 1, 4, 7, 10; margin books 2 months after send)</t>
        </is>
      </c>
    </row>
    <row r="3">
      <c r="A3" s="6" t="inlineStr">
        <is>
          <t>Month</t>
        </is>
      </c>
      <c r="B3" s="6" t="inlineStr">
        <is>
          <t>Wave?</t>
        </is>
      </c>
      <c r="C3" s="6" t="inlineStr">
        <is>
          <t>Emails sent</t>
        </is>
      </c>
      <c r="D3" s="6" t="inlineStr">
        <is>
          <t>Cost</t>
        </is>
      </c>
      <c r="E3" s="6" t="inlineStr">
        <is>
          <t>Reactivated orders</t>
        </is>
      </c>
      <c r="F3" s="6" t="inlineStr">
        <is>
          <t>Gross margin</t>
        </is>
      </c>
      <c r="G3" s="6" t="inlineStr">
        <is>
          <t>Net</t>
        </is>
      </c>
      <c r="H3" s="6" t="inlineStr">
        <is>
          <t>Cumulative net</t>
        </is>
      </c>
    </row>
    <row r="4">
      <c r="A4" t="n">
        <v>1</v>
      </c>
      <c r="B4" t="inlineStr">
        <is>
          <t>YES</t>
        </is>
      </c>
      <c r="C4" s="8">
        <f>IF(B4="YES",Assumptions!$B$3,0)</f>
        <v/>
      </c>
      <c r="D4" s="9">
        <f>C4*Assumptions!$B$5</f>
        <v/>
      </c>
      <c r="E4" s="8">
        <f>IF(B4="YES",Assumptions!$B$3*Assumptions!$B$4*Assumptions!$B$9,0)</f>
        <v/>
      </c>
      <c r="F4" s="9">
        <f>0</f>
        <v/>
      </c>
      <c r="G4" s="9">
        <f>F4-D4</f>
        <v/>
      </c>
      <c r="H4" s="9">
        <f>0+G4</f>
        <v/>
      </c>
    </row>
    <row r="5">
      <c r="A5" t="n">
        <v>2</v>
      </c>
      <c r="B5" t="inlineStr"/>
      <c r="C5" s="8">
        <f>IF(B5="YES",Assumptions!$B$3,0)</f>
        <v/>
      </c>
      <c r="D5" s="9">
        <f>C5*Assumptions!$B$5</f>
        <v/>
      </c>
      <c r="E5" s="8">
        <f>IF(B5="YES",Assumptions!$B$3*Assumptions!$B$4*Assumptions!$B$9,0)</f>
        <v/>
      </c>
      <c r="F5" s="9">
        <f>0</f>
        <v/>
      </c>
      <c r="G5" s="9">
        <f>F5-D5</f>
        <v/>
      </c>
      <c r="H5" s="9">
        <f>H4+G5</f>
        <v/>
      </c>
    </row>
    <row r="6">
      <c r="A6" t="n">
        <v>3</v>
      </c>
      <c r="B6" t="inlineStr"/>
      <c r="C6" s="8">
        <f>IF(B6="YES",Assumptions!$B$3,0)</f>
        <v/>
      </c>
      <c r="D6" s="9">
        <f>C6*Assumptions!$B$5</f>
        <v/>
      </c>
      <c r="E6" s="8">
        <f>IF(B6="YES",Assumptions!$B$3*Assumptions!$B$4*Assumptions!$B$9,0)</f>
        <v/>
      </c>
      <c r="F6" s="9">
        <f>IF(B4="YES",E4*Assumptions!$B$6,0)</f>
        <v/>
      </c>
      <c r="G6" s="9">
        <f>F6-D6</f>
        <v/>
      </c>
      <c r="H6" s="9">
        <f>H5+G6</f>
        <v/>
      </c>
    </row>
    <row r="7">
      <c r="A7" t="n">
        <v>4</v>
      </c>
      <c r="B7" t="inlineStr">
        <is>
          <t>YES</t>
        </is>
      </c>
      <c r="C7" s="8">
        <f>IF(B7="YES",Assumptions!$B$3,0)</f>
        <v/>
      </c>
      <c r="D7" s="9">
        <f>C7*Assumptions!$B$5</f>
        <v/>
      </c>
      <c r="E7" s="8">
        <f>IF(B7="YES",Assumptions!$B$3*Assumptions!$B$4*Assumptions!$B$9,0)</f>
        <v/>
      </c>
      <c r="F7" s="9">
        <f>IF(B5="YES",E5*Assumptions!$B$6,0)</f>
        <v/>
      </c>
      <c r="G7" s="9">
        <f>F7-D7</f>
        <v/>
      </c>
      <c r="H7" s="9">
        <f>H6+G7</f>
        <v/>
      </c>
    </row>
    <row r="8">
      <c r="A8" t="n">
        <v>5</v>
      </c>
      <c r="B8" t="inlineStr"/>
      <c r="C8" s="8">
        <f>IF(B8="YES",Assumptions!$B$3,0)</f>
        <v/>
      </c>
      <c r="D8" s="9">
        <f>C8*Assumptions!$B$5</f>
        <v/>
      </c>
      <c r="E8" s="8">
        <f>IF(B8="YES",Assumptions!$B$3*Assumptions!$B$4*Assumptions!$B$9,0)</f>
        <v/>
      </c>
      <c r="F8" s="9">
        <f>IF(B6="YES",E6*Assumptions!$B$6,0)</f>
        <v/>
      </c>
      <c r="G8" s="9">
        <f>F8-D8</f>
        <v/>
      </c>
      <c r="H8" s="9">
        <f>H7+G8</f>
        <v/>
      </c>
    </row>
    <row r="9">
      <c r="A9" t="n">
        <v>6</v>
      </c>
      <c r="B9" t="inlineStr"/>
      <c r="C9" s="8">
        <f>IF(B9="YES",Assumptions!$B$3,0)</f>
        <v/>
      </c>
      <c r="D9" s="9">
        <f>C9*Assumptions!$B$5</f>
        <v/>
      </c>
      <c r="E9" s="8">
        <f>IF(B9="YES",Assumptions!$B$3*Assumptions!$B$4*Assumptions!$B$9,0)</f>
        <v/>
      </c>
      <c r="F9" s="9">
        <f>IF(B7="YES",E7*Assumptions!$B$6,0)</f>
        <v/>
      </c>
      <c r="G9" s="9">
        <f>F9-D9</f>
        <v/>
      </c>
      <c r="H9" s="9">
        <f>H8+G9</f>
        <v/>
      </c>
    </row>
    <row r="10">
      <c r="A10" t="n">
        <v>7</v>
      </c>
      <c r="B10" t="inlineStr">
        <is>
          <t>YES</t>
        </is>
      </c>
      <c r="C10" s="8">
        <f>IF(B10="YES",Assumptions!$B$3,0)</f>
        <v/>
      </c>
      <c r="D10" s="9">
        <f>C10*Assumptions!$B$5</f>
        <v/>
      </c>
      <c r="E10" s="8">
        <f>IF(B10="YES",Assumptions!$B$3*Assumptions!$B$4*Assumptions!$B$9,0)</f>
        <v/>
      </c>
      <c r="F10" s="9">
        <f>IF(B8="YES",E8*Assumptions!$B$6,0)</f>
        <v/>
      </c>
      <c r="G10" s="9">
        <f>F10-D10</f>
        <v/>
      </c>
      <c r="H10" s="9">
        <f>H9+G10</f>
        <v/>
      </c>
    </row>
    <row r="11">
      <c r="A11" t="n">
        <v>8</v>
      </c>
      <c r="B11" t="inlineStr"/>
      <c r="C11" s="8">
        <f>IF(B11="YES",Assumptions!$B$3,0)</f>
        <v/>
      </c>
      <c r="D11" s="9">
        <f>C11*Assumptions!$B$5</f>
        <v/>
      </c>
      <c r="E11" s="8">
        <f>IF(B11="YES",Assumptions!$B$3*Assumptions!$B$4*Assumptions!$B$9,0)</f>
        <v/>
      </c>
      <c r="F11" s="9">
        <f>IF(B9="YES",E9*Assumptions!$B$6,0)</f>
        <v/>
      </c>
      <c r="G11" s="9">
        <f>F11-D11</f>
        <v/>
      </c>
      <c r="H11" s="9">
        <f>H10+G11</f>
        <v/>
      </c>
    </row>
    <row r="12">
      <c r="A12" t="n">
        <v>9</v>
      </c>
      <c r="B12" t="inlineStr"/>
      <c r="C12" s="8">
        <f>IF(B12="YES",Assumptions!$B$3,0)</f>
        <v/>
      </c>
      <c r="D12" s="9">
        <f>C12*Assumptions!$B$5</f>
        <v/>
      </c>
      <c r="E12" s="8">
        <f>IF(B12="YES",Assumptions!$B$3*Assumptions!$B$4*Assumptions!$B$9,0)</f>
        <v/>
      </c>
      <c r="F12" s="9">
        <f>IF(B10="YES",E10*Assumptions!$B$6,0)</f>
        <v/>
      </c>
      <c r="G12" s="9">
        <f>F12-D12</f>
        <v/>
      </c>
      <c r="H12" s="9">
        <f>H11+G12</f>
        <v/>
      </c>
    </row>
    <row r="13">
      <c r="A13" t="n">
        <v>10</v>
      </c>
      <c r="B13" t="inlineStr">
        <is>
          <t>YES</t>
        </is>
      </c>
      <c r="C13" s="8">
        <f>IF(B13="YES",Assumptions!$B$3,0)</f>
        <v/>
      </c>
      <c r="D13" s="9">
        <f>C13*Assumptions!$B$5</f>
        <v/>
      </c>
      <c r="E13" s="8">
        <f>IF(B13="YES",Assumptions!$B$3*Assumptions!$B$4*Assumptions!$B$9,0)</f>
        <v/>
      </c>
      <c r="F13" s="9">
        <f>IF(B11="YES",E11*Assumptions!$B$6,0)</f>
        <v/>
      </c>
      <c r="G13" s="9">
        <f>F13-D13</f>
        <v/>
      </c>
      <c r="H13" s="9">
        <f>H12+G13</f>
        <v/>
      </c>
    </row>
    <row r="14">
      <c r="A14" t="n">
        <v>11</v>
      </c>
      <c r="B14" t="inlineStr"/>
      <c r="C14" s="8">
        <f>IF(B14="YES",Assumptions!$B$3,0)</f>
        <v/>
      </c>
      <c r="D14" s="9">
        <f>C14*Assumptions!$B$5</f>
        <v/>
      </c>
      <c r="E14" s="8">
        <f>IF(B14="YES",Assumptions!$B$3*Assumptions!$B$4*Assumptions!$B$9,0)</f>
        <v/>
      </c>
      <c r="F14" s="9">
        <f>IF(B12="YES",E12*Assumptions!$B$6,0)</f>
        <v/>
      </c>
      <c r="G14" s="9">
        <f>F14-D14</f>
        <v/>
      </c>
      <c r="H14" s="9">
        <f>H13+G14</f>
        <v/>
      </c>
    </row>
    <row r="15">
      <c r="A15" t="n">
        <v>12</v>
      </c>
      <c r="B15" t="inlineStr"/>
      <c r="C15" s="8">
        <f>IF(B15="YES",Assumptions!$B$3,0)</f>
        <v/>
      </c>
      <c r="D15" s="9">
        <f>C15*Assumptions!$B$5</f>
        <v/>
      </c>
      <c r="E15" s="8">
        <f>IF(B15="YES",Assumptions!$B$3*Assumptions!$B$4*Assumptions!$B$9,0)</f>
        <v/>
      </c>
      <c r="F15" s="9">
        <f>IF(B13="YES",E13*Assumptions!$B$6,0)</f>
        <v/>
      </c>
      <c r="G15" s="9">
        <f>F15-D15</f>
        <v/>
      </c>
      <c r="H15" s="9">
        <f>H14+G15</f>
        <v/>
      </c>
    </row>
    <row r="17">
      <c r="A17" t="inlineStr">
        <is>
          <t>Payback: first month with cumulative net &gt; 0</t>
        </is>
      </c>
      <c r="E17" s="13">
        <f>MATCH(TRUE,INDEX(H4:H15&gt;0,0),0)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